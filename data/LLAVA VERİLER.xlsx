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fer2013" sheetId="1" r:id="rId1"/>
    <sheet name="CK+" sheetId="2" r:id="rId2"/>
    <sheet name="RAF-DB" sheetId="3" r:id="rId3"/>
    <sheet name="AffectNe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9" i="1" l="1"/>
  <c r="X17" i="1"/>
  <c r="X18" i="1"/>
  <c r="X4" i="1"/>
  <c r="X2" i="1"/>
  <c r="X3" i="1"/>
  <c r="B15" i="3"/>
  <c r="B13" i="3"/>
  <c r="B14" i="3"/>
  <c r="B16" i="2"/>
  <c r="B14" i="2"/>
  <c r="B15" i="2"/>
</calcChain>
</file>

<file path=xl/sharedStrings.xml><?xml version="1.0" encoding="utf-8"?>
<sst xmlns="http://schemas.openxmlformats.org/spreadsheetml/2006/main" count="332" uniqueCount="25">
  <si>
    <t>Görsel</t>
  </si>
  <si>
    <t>Angry</t>
  </si>
  <si>
    <t>Disgust</t>
  </si>
  <si>
    <t>Fear</t>
  </si>
  <si>
    <t>Happy</t>
  </si>
  <si>
    <t>Sad</t>
  </si>
  <si>
    <t>Surprised</t>
  </si>
  <si>
    <t>Neutral</t>
  </si>
  <si>
    <t>ANGRY</t>
  </si>
  <si>
    <t>DİSGUST</t>
  </si>
  <si>
    <t>FEAR</t>
  </si>
  <si>
    <t>HAPPY</t>
  </si>
  <si>
    <t>SAD</t>
  </si>
  <si>
    <t>SURPRİSED</t>
  </si>
  <si>
    <t>NEUTRAL</t>
  </si>
  <si>
    <t>Contempt</t>
  </si>
  <si>
    <t>Sadness</t>
  </si>
  <si>
    <t>Surprise</t>
  </si>
  <si>
    <t>CONTEMPT - Küçümseme</t>
  </si>
  <si>
    <t xml:space="preserve">SAD </t>
  </si>
  <si>
    <t>SURPRISED</t>
  </si>
  <si>
    <t>Anger</t>
  </si>
  <si>
    <t>ANGER</t>
  </si>
  <si>
    <t>CONTEMPT</t>
  </si>
  <si>
    <t>SURPRİSE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</si>
</sst>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/>
    <xf numFmtId="0" fontId="2" fillId="0" borderId="0" xfId="0" applyFont="1" applyFill="1" applyAlignment="1"/>
    <xf numFmtId="0" fontId="1" fillId="0" borderId="0" xfId="1" applyFont="1" applyAlignment="1"/>
    <xf numFmtId="0" fontId="2" fillId="2" borderId="0" xfId="1" applyFont="1" applyFill="1" applyAlignment="1"/>
    <xf numFmtId="0" fontId="2" fillId="0" borderId="0" xfId="1" applyFont="1" applyAlignment="1"/>
    <xf numFmtId="0" fontId="2" fillId="0" borderId="0" xfId="1" applyFont="1" applyFill="1" applyAlignment="1"/>
    <xf numFmtId="0" fontId="3" fillId="0" borderId="0" xfId="0" applyFont="1" applyBorder="1" applyAlignment="1">
      <alignment horizontal="center" vertical="center"/>
    </xf>
    <xf numFmtId="0" fontId="5" fillId="0" borderId="0" xfId="0" applyFont="1"/>
    <xf numFmtId="0" fontId="5" fillId="2" borderId="0" xfId="0" applyFont="1" applyFill="1"/>
    <xf numFmtId="0" fontId="5" fillId="0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workbookViewId="0">
      <selection activeCell="X19" sqref="X19"/>
    </sheetView>
  </sheetViews>
  <sheetFormatPr defaultRowHeight="15" x14ac:dyDescent="0.25"/>
  <sheetData>
    <row r="1" spans="1:24" ht="18.75" x14ac:dyDescent="0.25">
      <c r="A1" s="13" t="s">
        <v>8</v>
      </c>
      <c r="B1" s="13"/>
      <c r="D1" s="13" t="s">
        <v>9</v>
      </c>
      <c r="E1" s="13"/>
      <c r="G1" s="13" t="s">
        <v>10</v>
      </c>
      <c r="H1" s="13"/>
      <c r="J1" s="13" t="s">
        <v>11</v>
      </c>
      <c r="K1" s="13"/>
      <c r="M1" s="13" t="s">
        <v>12</v>
      </c>
      <c r="N1" s="13"/>
      <c r="P1" s="13" t="s">
        <v>13</v>
      </c>
      <c r="Q1" s="13"/>
      <c r="S1" s="13" t="s">
        <v>14</v>
      </c>
      <c r="T1" s="13"/>
    </row>
    <row r="2" spans="1:24" x14ac:dyDescent="0.25">
      <c r="A2" s="1" t="s">
        <v>0</v>
      </c>
      <c r="B2" s="1">
        <v>491</v>
      </c>
      <c r="D2" s="1" t="s">
        <v>0</v>
      </c>
      <c r="E2" s="1">
        <v>55</v>
      </c>
      <c r="G2" s="1" t="s">
        <v>0</v>
      </c>
      <c r="H2" s="1">
        <v>528</v>
      </c>
      <c r="J2" s="1" t="s">
        <v>0</v>
      </c>
      <c r="K2" s="1">
        <v>879</v>
      </c>
      <c r="M2" s="1" t="s">
        <v>0</v>
      </c>
      <c r="N2" s="1">
        <v>594</v>
      </c>
      <c r="P2" s="1" t="s">
        <v>0</v>
      </c>
      <c r="Q2" s="1">
        <v>416</v>
      </c>
      <c r="S2" s="1" t="s">
        <v>0</v>
      </c>
      <c r="T2" s="1">
        <v>626</v>
      </c>
      <c r="X2">
        <f>T9+Q8+N7+K6+H5+E4+B3</f>
        <v>1934</v>
      </c>
    </row>
    <row r="3" spans="1:24" x14ac:dyDescent="0.25">
      <c r="A3" s="2" t="s">
        <v>1</v>
      </c>
      <c r="B3" s="2">
        <v>128</v>
      </c>
      <c r="D3" s="3" t="s">
        <v>1</v>
      </c>
      <c r="E3" s="3">
        <v>11</v>
      </c>
      <c r="G3" s="3" t="s">
        <v>1</v>
      </c>
      <c r="H3" s="3">
        <v>24</v>
      </c>
      <c r="J3" s="3" t="s">
        <v>1</v>
      </c>
      <c r="K3" s="3">
        <v>1</v>
      </c>
      <c r="M3" s="3" t="s">
        <v>1</v>
      </c>
      <c r="N3" s="3">
        <v>21</v>
      </c>
      <c r="P3" s="3" t="s">
        <v>1</v>
      </c>
      <c r="Q3" s="3">
        <v>2</v>
      </c>
      <c r="S3" s="3" t="s">
        <v>1</v>
      </c>
      <c r="T3" s="3">
        <v>6</v>
      </c>
      <c r="X3">
        <f>T2+Q2+N2+K2+H2+E2+B2</f>
        <v>3589</v>
      </c>
    </row>
    <row r="4" spans="1:24" x14ac:dyDescent="0.25">
      <c r="A4" s="3" t="s">
        <v>2</v>
      </c>
      <c r="B4" s="3">
        <v>0</v>
      </c>
      <c r="D4" s="2" t="s">
        <v>2</v>
      </c>
      <c r="E4" s="2">
        <v>1</v>
      </c>
      <c r="G4" s="4" t="s">
        <v>2</v>
      </c>
      <c r="H4" s="4">
        <v>0</v>
      </c>
      <c r="J4" s="4" t="s">
        <v>2</v>
      </c>
      <c r="K4" s="4">
        <v>0</v>
      </c>
      <c r="M4" s="4" t="s">
        <v>2</v>
      </c>
      <c r="N4" s="4">
        <v>2</v>
      </c>
      <c r="P4" s="4" t="s">
        <v>2</v>
      </c>
      <c r="Q4" s="4">
        <v>0</v>
      </c>
      <c r="S4" s="4" t="s">
        <v>2</v>
      </c>
      <c r="T4" s="4">
        <v>0</v>
      </c>
      <c r="X4" s="15">
        <f>X2/X3</f>
        <v>0.53886876567288944</v>
      </c>
    </row>
    <row r="5" spans="1:24" x14ac:dyDescent="0.25">
      <c r="A5" s="3" t="s">
        <v>3</v>
      </c>
      <c r="B5" s="3">
        <v>1</v>
      </c>
      <c r="D5" s="3" t="s">
        <v>3</v>
      </c>
      <c r="E5" s="3">
        <v>0</v>
      </c>
      <c r="G5" s="2" t="s">
        <v>3</v>
      </c>
      <c r="H5" s="2">
        <v>5</v>
      </c>
      <c r="J5" s="3" t="s">
        <v>3</v>
      </c>
      <c r="K5" s="3">
        <v>0</v>
      </c>
      <c r="M5" s="3" t="s">
        <v>3</v>
      </c>
      <c r="N5" s="3">
        <v>1</v>
      </c>
      <c r="P5" s="3" t="s">
        <v>3</v>
      </c>
      <c r="Q5" s="3">
        <v>0</v>
      </c>
      <c r="S5" s="3" t="s">
        <v>3</v>
      </c>
      <c r="T5" s="3">
        <v>0</v>
      </c>
    </row>
    <row r="6" spans="1:24" x14ac:dyDescent="0.25">
      <c r="A6" s="3" t="s">
        <v>4</v>
      </c>
      <c r="B6" s="3">
        <v>5</v>
      </c>
      <c r="D6" s="3" t="s">
        <v>4</v>
      </c>
      <c r="E6" s="3">
        <v>1</v>
      </c>
      <c r="G6" s="3" t="s">
        <v>4</v>
      </c>
      <c r="H6" s="3">
        <v>11</v>
      </c>
      <c r="J6" s="2" t="s">
        <v>4</v>
      </c>
      <c r="K6" s="2">
        <v>730</v>
      </c>
      <c r="M6" s="4" t="s">
        <v>4</v>
      </c>
      <c r="N6" s="4">
        <v>7</v>
      </c>
      <c r="P6" s="4" t="s">
        <v>4</v>
      </c>
      <c r="Q6" s="4">
        <v>25</v>
      </c>
      <c r="S6" s="4" t="s">
        <v>4</v>
      </c>
      <c r="T6" s="4">
        <v>17</v>
      </c>
    </row>
    <row r="7" spans="1:24" x14ac:dyDescent="0.25">
      <c r="A7" s="3" t="s">
        <v>5</v>
      </c>
      <c r="B7" s="3">
        <v>26</v>
      </c>
      <c r="D7" s="3" t="s">
        <v>5</v>
      </c>
      <c r="E7" s="3">
        <v>0</v>
      </c>
      <c r="G7" s="3" t="s">
        <v>5</v>
      </c>
      <c r="H7" s="3">
        <v>87</v>
      </c>
      <c r="J7" s="3" t="s">
        <v>5</v>
      </c>
      <c r="K7" s="3">
        <v>4</v>
      </c>
      <c r="M7" s="2" t="s">
        <v>5</v>
      </c>
      <c r="N7" s="2">
        <v>282</v>
      </c>
      <c r="P7" s="4" t="s">
        <v>5</v>
      </c>
      <c r="Q7" s="4">
        <v>0</v>
      </c>
      <c r="S7" s="4" t="s">
        <v>5</v>
      </c>
      <c r="T7" s="4">
        <v>76</v>
      </c>
    </row>
    <row r="8" spans="1:24" x14ac:dyDescent="0.25">
      <c r="A8" s="3" t="s">
        <v>6</v>
      </c>
      <c r="B8" s="3">
        <v>270</v>
      </c>
      <c r="D8" s="3" t="s">
        <v>6</v>
      </c>
      <c r="E8" s="3">
        <v>39</v>
      </c>
      <c r="G8" s="3" t="s">
        <v>6</v>
      </c>
      <c r="H8" s="3">
        <v>323</v>
      </c>
      <c r="J8" s="3" t="s">
        <v>6</v>
      </c>
      <c r="K8" s="3">
        <v>89</v>
      </c>
      <c r="M8" s="3" t="s">
        <v>6</v>
      </c>
      <c r="N8" s="3">
        <v>146</v>
      </c>
      <c r="P8" s="2" t="s">
        <v>6</v>
      </c>
      <c r="Q8" s="2">
        <v>385</v>
      </c>
      <c r="S8" s="4" t="s">
        <v>6</v>
      </c>
      <c r="T8" s="4">
        <v>124</v>
      </c>
    </row>
    <row r="9" spans="1:24" x14ac:dyDescent="0.25">
      <c r="A9" s="3" t="s">
        <v>7</v>
      </c>
      <c r="B9" s="3">
        <v>61</v>
      </c>
      <c r="D9" s="3" t="s">
        <v>7</v>
      </c>
      <c r="E9" s="3">
        <v>3</v>
      </c>
      <c r="G9" s="3" t="s">
        <v>7</v>
      </c>
      <c r="H9" s="3">
        <v>78</v>
      </c>
      <c r="J9" s="3" t="s">
        <v>7</v>
      </c>
      <c r="K9" s="3">
        <v>55</v>
      </c>
      <c r="M9" s="3" t="s">
        <v>7</v>
      </c>
      <c r="N9" s="3">
        <v>135</v>
      </c>
      <c r="P9" s="3" t="s">
        <v>7</v>
      </c>
      <c r="Q9" s="3">
        <v>4</v>
      </c>
      <c r="S9" s="2" t="s">
        <v>7</v>
      </c>
      <c r="T9" s="2">
        <v>403</v>
      </c>
    </row>
    <row r="16" spans="1:24" ht="18.75" x14ac:dyDescent="0.25">
      <c r="A16" s="13" t="s">
        <v>8</v>
      </c>
      <c r="B16" s="13"/>
      <c r="D16" s="13" t="s">
        <v>9</v>
      </c>
      <c r="E16" s="13"/>
      <c r="G16" s="13" t="s">
        <v>10</v>
      </c>
      <c r="H16" s="13"/>
      <c r="J16" s="13" t="s">
        <v>11</v>
      </c>
      <c r="K16" s="13"/>
      <c r="M16" s="13" t="s">
        <v>12</v>
      </c>
      <c r="N16" s="13"/>
      <c r="P16" s="13" t="s">
        <v>13</v>
      </c>
      <c r="Q16" s="13"/>
      <c r="S16" s="13" t="s">
        <v>14</v>
      </c>
      <c r="T16" s="13"/>
    </row>
    <row r="17" spans="1:24" x14ac:dyDescent="0.25">
      <c r="A17" s="1" t="s">
        <v>0</v>
      </c>
      <c r="B17" s="1">
        <v>958</v>
      </c>
      <c r="D17" s="1" t="s">
        <v>0</v>
      </c>
      <c r="E17" s="1">
        <v>111</v>
      </c>
      <c r="G17" s="1" t="s">
        <v>0</v>
      </c>
      <c r="H17" s="1">
        <v>1024</v>
      </c>
      <c r="J17" s="1" t="s">
        <v>0</v>
      </c>
      <c r="K17" s="1">
        <v>1774</v>
      </c>
      <c r="M17" s="1" t="s">
        <v>0</v>
      </c>
      <c r="N17" s="1">
        <v>1247</v>
      </c>
      <c r="P17" s="1" t="s">
        <v>0</v>
      </c>
      <c r="Q17" s="1">
        <v>831</v>
      </c>
      <c r="S17" s="1" t="s">
        <v>0</v>
      </c>
      <c r="T17" s="1">
        <v>1233</v>
      </c>
      <c r="X17">
        <f>T24+Q23+N22+K21+H20+E19+B18</f>
        <v>3796</v>
      </c>
    </row>
    <row r="18" spans="1:24" x14ac:dyDescent="0.25">
      <c r="A18" s="2" t="s">
        <v>1</v>
      </c>
      <c r="B18" s="2">
        <v>221</v>
      </c>
      <c r="D18" s="3" t="s">
        <v>1</v>
      </c>
      <c r="E18" s="3">
        <v>26</v>
      </c>
      <c r="G18" s="3" t="s">
        <v>1</v>
      </c>
      <c r="H18" s="3">
        <v>37</v>
      </c>
      <c r="J18" s="3" t="s">
        <v>1</v>
      </c>
      <c r="K18" s="3">
        <v>2</v>
      </c>
      <c r="M18" s="3" t="s">
        <v>1</v>
      </c>
      <c r="N18" s="3">
        <v>42</v>
      </c>
      <c r="P18" s="3" t="s">
        <v>1</v>
      </c>
      <c r="Q18" s="3">
        <v>5</v>
      </c>
      <c r="S18" s="3" t="s">
        <v>1</v>
      </c>
      <c r="T18" s="3">
        <v>9</v>
      </c>
      <c r="X18">
        <f>T17+Q17+N17+K17+H17+E17+B17</f>
        <v>7178</v>
      </c>
    </row>
    <row r="19" spans="1:24" x14ac:dyDescent="0.25">
      <c r="A19" s="3" t="s">
        <v>2</v>
      </c>
      <c r="B19" s="3">
        <v>0</v>
      </c>
      <c r="D19" s="2" t="s">
        <v>2</v>
      </c>
      <c r="E19" s="2">
        <v>4</v>
      </c>
      <c r="G19" s="4" t="s">
        <v>2</v>
      </c>
      <c r="H19" s="4">
        <v>0</v>
      </c>
      <c r="J19" s="4" t="s">
        <v>2</v>
      </c>
      <c r="K19" s="4">
        <v>0</v>
      </c>
      <c r="M19" s="4" t="s">
        <v>2</v>
      </c>
      <c r="N19" s="4">
        <v>1</v>
      </c>
      <c r="P19" s="4" t="s">
        <v>2</v>
      </c>
      <c r="Q19" s="4">
        <v>0</v>
      </c>
      <c r="S19" s="4" t="s">
        <v>2</v>
      </c>
      <c r="T19" s="4">
        <v>0</v>
      </c>
      <c r="X19" s="15">
        <f>X17/X18</f>
        <v>0.52883811646698242</v>
      </c>
    </row>
    <row r="20" spans="1:24" x14ac:dyDescent="0.25">
      <c r="A20" s="3" t="s">
        <v>3</v>
      </c>
      <c r="B20" s="3">
        <v>1</v>
      </c>
      <c r="D20" s="3" t="s">
        <v>3</v>
      </c>
      <c r="E20" s="3">
        <v>0</v>
      </c>
      <c r="G20" s="2" t="s">
        <v>3</v>
      </c>
      <c r="H20" s="2">
        <v>14</v>
      </c>
      <c r="J20" s="3" t="s">
        <v>3</v>
      </c>
      <c r="K20" s="3">
        <v>0</v>
      </c>
      <c r="M20" s="3" t="s">
        <v>3</v>
      </c>
      <c r="N20" s="3">
        <v>4</v>
      </c>
      <c r="P20" s="3" t="s">
        <v>3</v>
      </c>
      <c r="Q20" s="3">
        <v>0</v>
      </c>
      <c r="S20" s="3" t="s">
        <v>3</v>
      </c>
      <c r="T20" s="3">
        <v>0</v>
      </c>
    </row>
    <row r="21" spans="1:24" x14ac:dyDescent="0.25">
      <c r="A21" s="3" t="s">
        <v>4</v>
      </c>
      <c r="B21" s="3">
        <v>9</v>
      </c>
      <c r="D21" s="3" t="s">
        <v>4</v>
      </c>
      <c r="E21" s="3">
        <v>2</v>
      </c>
      <c r="G21" s="3" t="s">
        <v>4</v>
      </c>
      <c r="H21" s="3">
        <v>16</v>
      </c>
      <c r="J21" s="2" t="s">
        <v>4</v>
      </c>
      <c r="K21" s="2">
        <v>1464</v>
      </c>
      <c r="M21" s="4" t="s">
        <v>4</v>
      </c>
      <c r="N21" s="4">
        <v>14</v>
      </c>
      <c r="P21" s="4" t="s">
        <v>4</v>
      </c>
      <c r="Q21" s="4">
        <v>36</v>
      </c>
      <c r="S21" s="4" t="s">
        <v>4</v>
      </c>
      <c r="T21" s="4">
        <v>39</v>
      </c>
    </row>
    <row r="22" spans="1:24" x14ac:dyDescent="0.25">
      <c r="A22" s="3" t="s">
        <v>5</v>
      </c>
      <c r="B22" s="3">
        <v>46</v>
      </c>
      <c r="D22" s="3" t="s">
        <v>5</v>
      </c>
      <c r="E22" s="3">
        <v>2</v>
      </c>
      <c r="G22" s="3" t="s">
        <v>5</v>
      </c>
      <c r="H22" s="3">
        <v>168</v>
      </c>
      <c r="J22" s="3" t="s">
        <v>5</v>
      </c>
      <c r="K22" s="3">
        <v>3</v>
      </c>
      <c r="M22" s="2" t="s">
        <v>5</v>
      </c>
      <c r="N22" s="2">
        <v>529</v>
      </c>
      <c r="P22" s="4" t="s">
        <v>5</v>
      </c>
      <c r="Q22" s="4">
        <v>0</v>
      </c>
      <c r="S22" s="4" t="s">
        <v>5</v>
      </c>
      <c r="T22" s="4">
        <v>143</v>
      </c>
    </row>
    <row r="23" spans="1:24" x14ac:dyDescent="0.25">
      <c r="A23" s="3" t="s">
        <v>6</v>
      </c>
      <c r="B23" s="3">
        <v>564</v>
      </c>
      <c r="D23" s="3" t="s">
        <v>6</v>
      </c>
      <c r="E23" s="3">
        <v>72</v>
      </c>
      <c r="G23" s="3" t="s">
        <v>6</v>
      </c>
      <c r="H23" s="3">
        <v>628</v>
      </c>
      <c r="J23" s="3" t="s">
        <v>6</v>
      </c>
      <c r="K23" s="3">
        <v>178</v>
      </c>
      <c r="M23" s="3" t="s">
        <v>6</v>
      </c>
      <c r="N23" s="3">
        <v>374</v>
      </c>
      <c r="P23" s="2" t="s">
        <v>6</v>
      </c>
      <c r="Q23" s="2">
        <v>778</v>
      </c>
      <c r="S23" s="4" t="s">
        <v>6</v>
      </c>
      <c r="T23" s="4">
        <v>256</v>
      </c>
    </row>
    <row r="24" spans="1:24" x14ac:dyDescent="0.25">
      <c r="A24" s="3" t="s">
        <v>7</v>
      </c>
      <c r="B24" s="3">
        <v>117</v>
      </c>
      <c r="D24" s="3" t="s">
        <v>7</v>
      </c>
      <c r="E24" s="3">
        <v>5</v>
      </c>
      <c r="G24" s="3" t="s">
        <v>7</v>
      </c>
      <c r="H24" s="3">
        <v>161</v>
      </c>
      <c r="J24" s="3" t="s">
        <v>7</v>
      </c>
      <c r="K24" s="3">
        <v>127</v>
      </c>
      <c r="M24" s="3" t="s">
        <v>7</v>
      </c>
      <c r="N24" s="3">
        <v>283</v>
      </c>
      <c r="P24" s="3" t="s">
        <v>7</v>
      </c>
      <c r="Q24" s="3">
        <v>12</v>
      </c>
      <c r="S24" s="2" t="s">
        <v>7</v>
      </c>
      <c r="T24" s="2">
        <v>786</v>
      </c>
    </row>
  </sheetData>
  <mergeCells count="14">
    <mergeCell ref="P16:Q16"/>
    <mergeCell ref="S16:T16"/>
    <mergeCell ref="A16:B16"/>
    <mergeCell ref="D16:E16"/>
    <mergeCell ref="G16:H16"/>
    <mergeCell ref="J16:K16"/>
    <mergeCell ref="M16:N16"/>
    <mergeCell ref="S1:T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16" sqref="B16"/>
    </sheetView>
  </sheetViews>
  <sheetFormatPr defaultRowHeight="15" x14ac:dyDescent="0.25"/>
  <cols>
    <col min="5" max="5" width="9.28515625" customWidth="1"/>
  </cols>
  <sheetData>
    <row r="1" spans="1:20" ht="33" customHeight="1" x14ac:dyDescent="0.25">
      <c r="A1" s="13" t="s">
        <v>8</v>
      </c>
      <c r="B1" s="13"/>
      <c r="D1" s="14" t="s">
        <v>18</v>
      </c>
      <c r="E1" s="14"/>
      <c r="G1" s="13" t="s">
        <v>9</v>
      </c>
      <c r="H1" s="13"/>
      <c r="J1" s="13" t="s">
        <v>10</v>
      </c>
      <c r="K1" s="13"/>
      <c r="M1" s="13" t="s">
        <v>11</v>
      </c>
      <c r="N1" s="13"/>
      <c r="P1" s="13" t="s">
        <v>19</v>
      </c>
      <c r="Q1" s="13"/>
      <c r="S1" s="13" t="s">
        <v>13</v>
      </c>
      <c r="T1" s="13"/>
    </row>
    <row r="2" spans="1:20" x14ac:dyDescent="0.25">
      <c r="A2" s="5" t="s">
        <v>0</v>
      </c>
      <c r="B2" s="5">
        <v>135</v>
      </c>
      <c r="D2" s="5" t="s">
        <v>0</v>
      </c>
      <c r="E2" s="5">
        <v>54</v>
      </c>
      <c r="G2" s="5" t="s">
        <v>0</v>
      </c>
      <c r="H2" s="5">
        <v>177</v>
      </c>
      <c r="J2" s="5" t="s">
        <v>0</v>
      </c>
      <c r="K2" s="5">
        <v>75</v>
      </c>
      <c r="M2" s="5" t="s">
        <v>0</v>
      </c>
      <c r="N2" s="5">
        <v>207</v>
      </c>
      <c r="P2" s="5" t="s">
        <v>0</v>
      </c>
      <c r="Q2" s="5">
        <v>84</v>
      </c>
      <c r="S2" s="5" t="s">
        <v>0</v>
      </c>
      <c r="T2" s="5">
        <v>249</v>
      </c>
    </row>
    <row r="3" spans="1:20" x14ac:dyDescent="0.25">
      <c r="A3" s="6" t="s">
        <v>1</v>
      </c>
      <c r="B3" s="6">
        <v>67</v>
      </c>
      <c r="D3" s="8" t="s">
        <v>1</v>
      </c>
      <c r="E3" s="8">
        <v>0</v>
      </c>
      <c r="G3" s="8" t="s">
        <v>1</v>
      </c>
      <c r="H3" s="8">
        <v>119</v>
      </c>
      <c r="J3" s="8" t="s">
        <v>1</v>
      </c>
      <c r="K3" s="8">
        <v>0</v>
      </c>
      <c r="M3" s="8" t="s">
        <v>1</v>
      </c>
      <c r="N3" s="8">
        <v>0</v>
      </c>
      <c r="P3" s="8" t="s">
        <v>1</v>
      </c>
      <c r="Q3" s="8">
        <v>3</v>
      </c>
      <c r="S3" s="8" t="s">
        <v>1</v>
      </c>
      <c r="T3" s="8">
        <v>0</v>
      </c>
    </row>
    <row r="4" spans="1:20" x14ac:dyDescent="0.25">
      <c r="A4" s="7" t="s">
        <v>15</v>
      </c>
      <c r="B4" s="7">
        <v>0</v>
      </c>
      <c r="D4" s="6" t="s">
        <v>15</v>
      </c>
      <c r="E4" s="6">
        <v>0</v>
      </c>
      <c r="G4" s="8" t="s">
        <v>15</v>
      </c>
      <c r="H4" s="8">
        <v>0</v>
      </c>
      <c r="J4" s="8" t="s">
        <v>15</v>
      </c>
      <c r="K4" s="8">
        <v>0</v>
      </c>
      <c r="M4" s="8" t="s">
        <v>15</v>
      </c>
      <c r="N4" s="8">
        <v>0</v>
      </c>
      <c r="P4" s="8" t="s">
        <v>15</v>
      </c>
      <c r="Q4" s="8">
        <v>0</v>
      </c>
      <c r="S4" s="8" t="s">
        <v>15</v>
      </c>
      <c r="T4" s="8">
        <v>0</v>
      </c>
    </row>
    <row r="5" spans="1:20" x14ac:dyDescent="0.25">
      <c r="A5" s="7" t="s">
        <v>2</v>
      </c>
      <c r="B5" s="7">
        <v>0</v>
      </c>
      <c r="D5" s="7" t="s">
        <v>2</v>
      </c>
      <c r="E5" s="7">
        <v>0</v>
      </c>
      <c r="G5" s="6" t="s">
        <v>2</v>
      </c>
      <c r="H5" s="6">
        <v>2</v>
      </c>
      <c r="J5" s="8" t="s">
        <v>2</v>
      </c>
      <c r="K5" s="8">
        <v>0</v>
      </c>
      <c r="M5" s="8" t="s">
        <v>2</v>
      </c>
      <c r="N5" s="8">
        <v>0</v>
      </c>
      <c r="P5" s="8" t="s">
        <v>2</v>
      </c>
      <c r="Q5" s="8">
        <v>1</v>
      </c>
      <c r="S5" s="8" t="s">
        <v>2</v>
      </c>
      <c r="T5" s="8">
        <v>0</v>
      </c>
    </row>
    <row r="6" spans="1:20" x14ac:dyDescent="0.25">
      <c r="A6" s="7" t="s">
        <v>3</v>
      </c>
      <c r="B6" s="7">
        <v>0</v>
      </c>
      <c r="D6" s="7" t="s">
        <v>3</v>
      </c>
      <c r="E6" s="7">
        <v>0</v>
      </c>
      <c r="G6" s="7" t="s">
        <v>3</v>
      </c>
      <c r="H6" s="7">
        <v>0</v>
      </c>
      <c r="J6" s="6" t="s">
        <v>3</v>
      </c>
      <c r="K6" s="6">
        <v>0</v>
      </c>
      <c r="M6" s="8" t="s">
        <v>3</v>
      </c>
      <c r="N6" s="8">
        <v>0</v>
      </c>
      <c r="P6" s="8" t="s">
        <v>3</v>
      </c>
      <c r="Q6" s="8">
        <v>0</v>
      </c>
      <c r="S6" s="8" t="s">
        <v>3</v>
      </c>
      <c r="T6" s="8">
        <v>0</v>
      </c>
    </row>
    <row r="7" spans="1:20" x14ac:dyDescent="0.25">
      <c r="A7" s="7" t="s">
        <v>4</v>
      </c>
      <c r="B7" s="7">
        <v>0</v>
      </c>
      <c r="D7" s="7" t="s">
        <v>4</v>
      </c>
      <c r="E7" s="7">
        <v>0</v>
      </c>
      <c r="G7" s="7" t="s">
        <v>4</v>
      </c>
      <c r="H7" s="7">
        <v>0</v>
      </c>
      <c r="J7" s="7" t="s">
        <v>4</v>
      </c>
      <c r="K7" s="7">
        <v>0</v>
      </c>
      <c r="M7" s="6" t="s">
        <v>4</v>
      </c>
      <c r="N7" s="6">
        <v>207</v>
      </c>
      <c r="P7" s="8" t="s">
        <v>4</v>
      </c>
      <c r="Q7" s="8">
        <v>0</v>
      </c>
      <c r="S7" s="8" t="s">
        <v>4</v>
      </c>
      <c r="T7" s="8">
        <v>0</v>
      </c>
    </row>
    <row r="8" spans="1:20" x14ac:dyDescent="0.25">
      <c r="A8" s="7" t="s">
        <v>16</v>
      </c>
      <c r="B8" s="7">
        <v>6</v>
      </c>
      <c r="D8" s="7" t="s">
        <v>16</v>
      </c>
      <c r="E8" s="7">
        <v>15</v>
      </c>
      <c r="G8" s="7" t="s">
        <v>16</v>
      </c>
      <c r="H8" s="7">
        <v>3</v>
      </c>
      <c r="J8" s="7" t="s">
        <v>16</v>
      </c>
      <c r="K8" s="7">
        <v>0</v>
      </c>
      <c r="M8" s="7" t="s">
        <v>16</v>
      </c>
      <c r="N8" s="7">
        <v>0</v>
      </c>
      <c r="P8" s="6" t="s">
        <v>16</v>
      </c>
      <c r="Q8" s="6">
        <v>53</v>
      </c>
      <c r="S8" s="8" t="s">
        <v>16</v>
      </c>
      <c r="T8" s="8">
        <v>3</v>
      </c>
    </row>
    <row r="9" spans="1:20" x14ac:dyDescent="0.25">
      <c r="A9" s="7" t="s">
        <v>17</v>
      </c>
      <c r="B9" s="7">
        <v>62</v>
      </c>
      <c r="D9" s="7" t="s">
        <v>17</v>
      </c>
      <c r="E9" s="7">
        <v>39</v>
      </c>
      <c r="G9" s="7" t="s">
        <v>17</v>
      </c>
      <c r="H9" s="7">
        <v>53</v>
      </c>
      <c r="J9" s="7" t="s">
        <v>17</v>
      </c>
      <c r="K9" s="7">
        <v>75</v>
      </c>
      <c r="M9" s="7" t="s">
        <v>17</v>
      </c>
      <c r="N9" s="7">
        <v>0</v>
      </c>
      <c r="P9" s="7" t="s">
        <v>17</v>
      </c>
      <c r="Q9" s="7">
        <v>27</v>
      </c>
      <c r="S9" s="6" t="s">
        <v>17</v>
      </c>
      <c r="T9" s="6">
        <v>246</v>
      </c>
    </row>
    <row r="14" spans="1:20" x14ac:dyDescent="0.25">
      <c r="B14">
        <f>B3+E4+H5+K6+N7+Q8+T9</f>
        <v>575</v>
      </c>
    </row>
    <row r="15" spans="1:20" x14ac:dyDescent="0.25">
      <c r="B15">
        <f>B2+E2+H2+K2+N2+Q2+T2</f>
        <v>981</v>
      </c>
    </row>
    <row r="16" spans="1:20" x14ac:dyDescent="0.25">
      <c r="B16" s="15">
        <f>B14/B15</f>
        <v>0.58613659531090723</v>
      </c>
    </row>
  </sheetData>
  <mergeCells count="7">
    <mergeCell ref="S1:T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K12" sqref="K12"/>
    </sheetView>
  </sheetViews>
  <sheetFormatPr defaultRowHeight="15" x14ac:dyDescent="0.25"/>
  <sheetData>
    <row r="1" spans="1:20" ht="18.75" x14ac:dyDescent="0.25">
      <c r="A1" s="13" t="s">
        <v>8</v>
      </c>
      <c r="B1" s="13"/>
      <c r="D1" s="13" t="s">
        <v>14</v>
      </c>
      <c r="E1" s="13"/>
      <c r="F1" s="9"/>
      <c r="G1" s="13" t="s">
        <v>9</v>
      </c>
      <c r="H1" s="13"/>
      <c r="J1" s="13" t="s">
        <v>10</v>
      </c>
      <c r="K1" s="13"/>
      <c r="M1" s="13" t="s">
        <v>11</v>
      </c>
      <c r="N1" s="13"/>
      <c r="P1" s="13" t="s">
        <v>12</v>
      </c>
      <c r="Q1" s="13"/>
      <c r="S1" s="13" t="s">
        <v>20</v>
      </c>
      <c r="T1" s="13"/>
    </row>
    <row r="2" spans="1:20" x14ac:dyDescent="0.25">
      <c r="A2" s="5" t="s">
        <v>0</v>
      </c>
      <c r="B2" s="5">
        <v>162</v>
      </c>
      <c r="D2" s="5" t="s">
        <v>0</v>
      </c>
      <c r="E2" s="5">
        <v>680</v>
      </c>
      <c r="F2" s="5"/>
      <c r="G2" s="5" t="s">
        <v>0</v>
      </c>
      <c r="H2" s="5">
        <v>160</v>
      </c>
      <c r="J2" s="5" t="s">
        <v>0</v>
      </c>
      <c r="K2" s="5">
        <v>74</v>
      </c>
      <c r="M2" s="5" t="s">
        <v>0</v>
      </c>
      <c r="N2" s="5">
        <v>1185</v>
      </c>
      <c r="P2" s="5" t="s">
        <v>0</v>
      </c>
      <c r="Q2" s="5">
        <v>478</v>
      </c>
      <c r="S2" s="5" t="s">
        <v>0</v>
      </c>
      <c r="T2" s="5">
        <v>329</v>
      </c>
    </row>
    <row r="3" spans="1:20" x14ac:dyDescent="0.25">
      <c r="A3" s="6" t="s">
        <v>1</v>
      </c>
      <c r="B3" s="6">
        <v>89</v>
      </c>
      <c r="D3" s="8" t="s">
        <v>1</v>
      </c>
      <c r="E3" s="8">
        <v>7</v>
      </c>
      <c r="F3" s="8"/>
      <c r="G3" s="8" t="s">
        <v>1</v>
      </c>
      <c r="H3" s="8">
        <v>18</v>
      </c>
      <c r="J3" s="8" t="s">
        <v>1</v>
      </c>
      <c r="K3" s="8">
        <v>1</v>
      </c>
      <c r="M3" s="8" t="s">
        <v>1</v>
      </c>
      <c r="N3" s="8">
        <v>1</v>
      </c>
      <c r="P3" s="8" t="s">
        <v>1</v>
      </c>
      <c r="Q3" s="8">
        <v>7</v>
      </c>
      <c r="S3" s="8" t="s">
        <v>1</v>
      </c>
      <c r="T3" s="8">
        <v>0</v>
      </c>
    </row>
    <row r="4" spans="1:20" x14ac:dyDescent="0.25">
      <c r="A4" s="7" t="s">
        <v>7</v>
      </c>
      <c r="B4" s="7">
        <v>1</v>
      </c>
      <c r="D4" s="6" t="s">
        <v>7</v>
      </c>
      <c r="E4" s="6">
        <v>424</v>
      </c>
      <c r="F4" s="8"/>
      <c r="G4" s="7" t="s">
        <v>7</v>
      </c>
      <c r="H4" s="7">
        <v>7</v>
      </c>
      <c r="J4" s="7" t="s">
        <v>7</v>
      </c>
      <c r="K4" s="7">
        <v>0</v>
      </c>
      <c r="M4" s="7" t="s">
        <v>7</v>
      </c>
      <c r="N4" s="7">
        <v>149</v>
      </c>
      <c r="P4" s="8" t="s">
        <v>7</v>
      </c>
      <c r="Q4" s="8">
        <v>25</v>
      </c>
      <c r="S4" s="8" t="s">
        <v>7</v>
      </c>
      <c r="T4" s="8">
        <v>3</v>
      </c>
    </row>
    <row r="5" spans="1:20" x14ac:dyDescent="0.25">
      <c r="A5" s="7" t="s">
        <v>2</v>
      </c>
      <c r="B5" s="7">
        <v>1</v>
      </c>
      <c r="D5" s="8" t="s">
        <v>2</v>
      </c>
      <c r="E5" s="8">
        <v>0</v>
      </c>
      <c r="F5" s="8"/>
      <c r="G5" s="6" t="s">
        <v>2</v>
      </c>
      <c r="H5" s="6">
        <v>4</v>
      </c>
      <c r="J5" s="8" t="s">
        <v>2</v>
      </c>
      <c r="K5" s="8">
        <v>0</v>
      </c>
      <c r="M5" s="8" t="s">
        <v>2</v>
      </c>
      <c r="N5" s="8">
        <v>0</v>
      </c>
      <c r="P5" s="8" t="s">
        <v>2</v>
      </c>
      <c r="Q5" s="8">
        <v>1</v>
      </c>
      <c r="S5" s="8" t="s">
        <v>2</v>
      </c>
      <c r="T5" s="8">
        <v>0</v>
      </c>
    </row>
    <row r="6" spans="1:20" x14ac:dyDescent="0.25">
      <c r="A6" s="7" t="s">
        <v>3</v>
      </c>
      <c r="B6" s="7">
        <v>0</v>
      </c>
      <c r="D6" s="8" t="s">
        <v>3</v>
      </c>
      <c r="E6" s="8">
        <v>0</v>
      </c>
      <c r="F6" s="8"/>
      <c r="G6" s="7" t="s">
        <v>3</v>
      </c>
      <c r="H6" s="7"/>
      <c r="J6" s="6" t="s">
        <v>3</v>
      </c>
      <c r="K6" s="6">
        <v>1</v>
      </c>
      <c r="M6" s="8" t="s">
        <v>3</v>
      </c>
      <c r="N6" s="8">
        <v>0</v>
      </c>
      <c r="P6" s="8" t="s">
        <v>3</v>
      </c>
      <c r="Q6" s="8">
        <v>0</v>
      </c>
      <c r="S6" s="8" t="s">
        <v>3</v>
      </c>
      <c r="T6" s="8">
        <v>0</v>
      </c>
    </row>
    <row r="7" spans="1:20" x14ac:dyDescent="0.25">
      <c r="A7" s="7" t="s">
        <v>4</v>
      </c>
      <c r="B7" s="7">
        <v>1</v>
      </c>
      <c r="D7" s="8" t="s">
        <v>4</v>
      </c>
      <c r="E7" s="8">
        <v>0</v>
      </c>
      <c r="F7" s="8"/>
      <c r="G7" s="7" t="s">
        <v>4</v>
      </c>
      <c r="H7" s="7">
        <v>2</v>
      </c>
      <c r="J7" s="7" t="s">
        <v>4</v>
      </c>
      <c r="K7" s="7">
        <v>2</v>
      </c>
      <c r="M7" s="6" t="s">
        <v>4</v>
      </c>
      <c r="N7" s="6">
        <v>846</v>
      </c>
      <c r="P7" s="8" t="s">
        <v>4</v>
      </c>
      <c r="Q7" s="8">
        <v>4</v>
      </c>
      <c r="S7" s="8" t="s">
        <v>4</v>
      </c>
      <c r="T7" s="8">
        <v>0</v>
      </c>
    </row>
    <row r="8" spans="1:20" x14ac:dyDescent="0.25">
      <c r="A8" s="7" t="s">
        <v>5</v>
      </c>
      <c r="B8" s="7">
        <v>0</v>
      </c>
      <c r="D8" s="7" t="s">
        <v>5</v>
      </c>
      <c r="E8" s="7">
        <v>47</v>
      </c>
      <c r="F8" s="7"/>
      <c r="G8" s="7" t="s">
        <v>5</v>
      </c>
      <c r="H8" s="7">
        <v>6</v>
      </c>
      <c r="J8" s="7" t="s">
        <v>5</v>
      </c>
      <c r="K8" s="7">
        <v>0</v>
      </c>
      <c r="M8" s="7" t="s">
        <v>5</v>
      </c>
      <c r="N8" s="7">
        <v>4</v>
      </c>
      <c r="P8" s="6" t="s">
        <v>5</v>
      </c>
      <c r="Q8" s="6">
        <v>221</v>
      </c>
      <c r="S8" s="8" t="s">
        <v>5</v>
      </c>
      <c r="T8" s="8">
        <v>0</v>
      </c>
    </row>
    <row r="9" spans="1:20" x14ac:dyDescent="0.25">
      <c r="A9" s="7" t="s">
        <v>6</v>
      </c>
      <c r="B9" s="7">
        <v>70</v>
      </c>
      <c r="D9" s="7" t="s">
        <v>6</v>
      </c>
      <c r="E9" s="7">
        <v>202</v>
      </c>
      <c r="F9" s="7"/>
      <c r="G9" s="7" t="s">
        <v>6</v>
      </c>
      <c r="H9" s="7">
        <v>123</v>
      </c>
      <c r="J9" s="7" t="s">
        <v>6</v>
      </c>
      <c r="K9" s="7">
        <v>70</v>
      </c>
      <c r="M9" s="7" t="s">
        <v>6</v>
      </c>
      <c r="N9" s="7">
        <v>185</v>
      </c>
      <c r="P9" s="7" t="s">
        <v>6</v>
      </c>
      <c r="Q9" s="7">
        <v>220</v>
      </c>
      <c r="S9" s="6" t="s">
        <v>6</v>
      </c>
      <c r="T9" s="6">
        <v>326</v>
      </c>
    </row>
    <row r="13" spans="1:20" x14ac:dyDescent="0.25">
      <c r="B13">
        <f>B3+E4+H5+K6+N7+Q8+T9</f>
        <v>1911</v>
      </c>
    </row>
    <row r="14" spans="1:20" x14ac:dyDescent="0.25">
      <c r="B14">
        <f>B2+E2+H2+K2+N2+Q2+T2</f>
        <v>3068</v>
      </c>
    </row>
    <row r="15" spans="1:20" x14ac:dyDescent="0.25">
      <c r="B15" s="15">
        <f>B13/B14</f>
        <v>0.6228813559322034</v>
      </c>
    </row>
  </sheetData>
  <mergeCells count="7">
    <mergeCell ref="S1:T1"/>
    <mergeCell ref="A1:B1"/>
    <mergeCell ref="G1:H1"/>
    <mergeCell ref="J1:K1"/>
    <mergeCell ref="M1:N1"/>
    <mergeCell ref="D1:E1"/>
    <mergeCell ref="P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workbookViewId="0">
      <selection activeCell="A13" sqref="A13"/>
    </sheetView>
  </sheetViews>
  <sheetFormatPr defaultRowHeight="15" x14ac:dyDescent="0.25"/>
  <sheetData>
    <row r="1" spans="1:23" ht="18.75" x14ac:dyDescent="0.25">
      <c r="A1" s="13" t="s">
        <v>22</v>
      </c>
      <c r="B1" s="13"/>
      <c r="D1" s="13" t="s">
        <v>23</v>
      </c>
      <c r="E1" s="13"/>
      <c r="G1" s="13" t="s">
        <v>9</v>
      </c>
      <c r="H1" s="13"/>
      <c r="J1" s="13" t="s">
        <v>10</v>
      </c>
      <c r="K1" s="13"/>
      <c r="M1" s="13" t="s">
        <v>11</v>
      </c>
      <c r="N1" s="13"/>
      <c r="P1" s="13" t="s">
        <v>14</v>
      </c>
      <c r="Q1" s="13"/>
      <c r="S1" s="13" t="s">
        <v>12</v>
      </c>
      <c r="T1" s="13"/>
      <c r="V1" s="13" t="s">
        <v>24</v>
      </c>
      <c r="W1" s="13"/>
    </row>
    <row r="2" spans="1:23" ht="15.75" x14ac:dyDescent="0.25">
      <c r="A2" s="5" t="s">
        <v>0</v>
      </c>
      <c r="B2" s="5">
        <v>400</v>
      </c>
      <c r="D2" s="10" t="s">
        <v>0</v>
      </c>
      <c r="E2" s="10">
        <v>400</v>
      </c>
      <c r="G2" s="10" t="s">
        <v>0</v>
      </c>
      <c r="H2" s="10">
        <v>400</v>
      </c>
      <c r="J2" s="10" t="s">
        <v>0</v>
      </c>
      <c r="K2" s="10">
        <v>400</v>
      </c>
      <c r="M2" s="10" t="s">
        <v>0</v>
      </c>
      <c r="N2" s="10">
        <v>400</v>
      </c>
      <c r="P2" s="10" t="s">
        <v>0</v>
      </c>
      <c r="Q2" s="10">
        <v>400</v>
      </c>
      <c r="S2" s="10" t="s">
        <v>0</v>
      </c>
      <c r="T2" s="10">
        <v>400</v>
      </c>
      <c r="V2" s="10" t="s">
        <v>0</v>
      </c>
      <c r="W2" s="10">
        <v>400</v>
      </c>
    </row>
    <row r="3" spans="1:23" ht="15.75" x14ac:dyDescent="0.25">
      <c r="A3" s="6" t="s">
        <v>21</v>
      </c>
      <c r="B3" s="6">
        <v>63</v>
      </c>
      <c r="D3" s="10" t="s">
        <v>21</v>
      </c>
      <c r="E3" s="10">
        <v>4</v>
      </c>
      <c r="G3" s="10" t="s">
        <v>21</v>
      </c>
      <c r="H3" s="10">
        <v>20</v>
      </c>
      <c r="J3" s="10" t="s">
        <v>21</v>
      </c>
      <c r="K3" s="10">
        <v>2</v>
      </c>
      <c r="M3" s="10" t="s">
        <v>21</v>
      </c>
      <c r="N3" s="10">
        <v>0</v>
      </c>
      <c r="P3" s="10" t="s">
        <v>21</v>
      </c>
      <c r="Q3" s="10">
        <v>1</v>
      </c>
      <c r="S3" s="10" t="s">
        <v>21</v>
      </c>
      <c r="T3" s="10">
        <v>2</v>
      </c>
      <c r="V3" s="10" t="s">
        <v>21</v>
      </c>
      <c r="W3" s="10">
        <v>0</v>
      </c>
    </row>
    <row r="4" spans="1:23" ht="15.75" x14ac:dyDescent="0.25">
      <c r="A4" s="7" t="s">
        <v>15</v>
      </c>
      <c r="B4" s="7">
        <v>2</v>
      </c>
      <c r="D4" s="11" t="s">
        <v>15</v>
      </c>
      <c r="E4" s="11">
        <v>1</v>
      </c>
      <c r="G4" s="12" t="s">
        <v>15</v>
      </c>
      <c r="H4" s="12">
        <v>1</v>
      </c>
      <c r="J4" s="12" t="s">
        <v>15</v>
      </c>
      <c r="K4" s="12">
        <v>0</v>
      </c>
      <c r="M4" s="12" t="s">
        <v>15</v>
      </c>
      <c r="N4" s="12">
        <v>0</v>
      </c>
      <c r="P4" s="12" t="s">
        <v>15</v>
      </c>
      <c r="Q4" s="12">
        <v>0</v>
      </c>
      <c r="S4" s="12" t="s">
        <v>15</v>
      </c>
      <c r="T4" s="12">
        <v>5</v>
      </c>
      <c r="V4" s="12" t="s">
        <v>15</v>
      </c>
      <c r="W4" s="12">
        <v>0</v>
      </c>
    </row>
    <row r="5" spans="1:23" ht="15.75" x14ac:dyDescent="0.25">
      <c r="A5" s="7" t="s">
        <v>2</v>
      </c>
      <c r="B5" s="7">
        <v>34</v>
      </c>
      <c r="D5" s="10" t="s">
        <v>2</v>
      </c>
      <c r="E5" s="10">
        <v>11</v>
      </c>
      <c r="G5" s="11" t="s">
        <v>2</v>
      </c>
      <c r="H5" s="11">
        <v>108</v>
      </c>
      <c r="J5" s="10" t="s">
        <v>2</v>
      </c>
      <c r="K5" s="10">
        <v>10</v>
      </c>
      <c r="M5" s="10" t="s">
        <v>2</v>
      </c>
      <c r="N5" s="10">
        <v>1</v>
      </c>
      <c r="P5" s="10" t="s">
        <v>2</v>
      </c>
      <c r="Q5" s="10">
        <v>14</v>
      </c>
      <c r="S5" s="10" t="s">
        <v>2</v>
      </c>
      <c r="T5" s="10">
        <v>47</v>
      </c>
      <c r="V5" s="10" t="s">
        <v>2</v>
      </c>
      <c r="W5" s="10">
        <v>2</v>
      </c>
    </row>
    <row r="6" spans="1:23" ht="15.75" x14ac:dyDescent="0.25">
      <c r="A6" s="7" t="s">
        <v>3</v>
      </c>
      <c r="B6" s="7">
        <v>0</v>
      </c>
      <c r="D6" s="10" t="s">
        <v>3</v>
      </c>
      <c r="E6" s="10">
        <v>0</v>
      </c>
      <c r="G6" s="10" t="s">
        <v>3</v>
      </c>
      <c r="H6" s="10">
        <v>0</v>
      </c>
      <c r="J6" s="11" t="s">
        <v>3</v>
      </c>
      <c r="K6" s="11">
        <v>4</v>
      </c>
      <c r="M6" s="12" t="s">
        <v>3</v>
      </c>
      <c r="N6" s="12">
        <v>0</v>
      </c>
      <c r="P6" s="12" t="s">
        <v>3</v>
      </c>
      <c r="Q6" s="12">
        <v>0</v>
      </c>
      <c r="S6" s="12" t="s">
        <v>3</v>
      </c>
      <c r="T6" s="12">
        <v>2</v>
      </c>
      <c r="V6" s="12" t="s">
        <v>3</v>
      </c>
      <c r="W6" s="12">
        <v>0</v>
      </c>
    </row>
    <row r="7" spans="1:23" ht="15.75" x14ac:dyDescent="0.25">
      <c r="A7" s="7" t="s">
        <v>4</v>
      </c>
      <c r="B7" s="7">
        <v>3</v>
      </c>
      <c r="D7" s="10" t="s">
        <v>4</v>
      </c>
      <c r="E7" s="10">
        <v>88</v>
      </c>
      <c r="G7" s="10" t="s">
        <v>4</v>
      </c>
      <c r="H7" s="10">
        <v>15</v>
      </c>
      <c r="J7" s="10" t="s">
        <v>4</v>
      </c>
      <c r="K7" s="10">
        <v>4</v>
      </c>
      <c r="M7" s="11" t="s">
        <v>4</v>
      </c>
      <c r="N7" s="11">
        <v>337</v>
      </c>
      <c r="P7" s="12" t="s">
        <v>4</v>
      </c>
      <c r="Q7" s="12">
        <v>16</v>
      </c>
      <c r="S7" s="12" t="s">
        <v>4</v>
      </c>
      <c r="T7" s="12">
        <v>2</v>
      </c>
      <c r="V7" s="12" t="s">
        <v>4</v>
      </c>
      <c r="W7" s="12">
        <v>6</v>
      </c>
    </row>
    <row r="8" spans="1:23" ht="15.75" x14ac:dyDescent="0.25">
      <c r="A8" s="7" t="s">
        <v>7</v>
      </c>
      <c r="B8" s="7">
        <v>85</v>
      </c>
      <c r="D8" s="10" t="s">
        <v>7</v>
      </c>
      <c r="E8" s="10">
        <v>212</v>
      </c>
      <c r="G8" s="10" t="s">
        <v>7</v>
      </c>
      <c r="H8" s="10">
        <v>57</v>
      </c>
      <c r="J8" s="10" t="s">
        <v>7</v>
      </c>
      <c r="K8" s="10">
        <v>34</v>
      </c>
      <c r="M8" s="10" t="s">
        <v>7</v>
      </c>
      <c r="N8" s="10">
        <v>46</v>
      </c>
      <c r="P8" s="11" t="s">
        <v>7</v>
      </c>
      <c r="Q8" s="11">
        <v>282</v>
      </c>
      <c r="S8" s="12" t="s">
        <v>7</v>
      </c>
      <c r="T8" s="12">
        <v>113</v>
      </c>
      <c r="V8" s="12" t="s">
        <v>7</v>
      </c>
      <c r="W8" s="12">
        <v>17</v>
      </c>
    </row>
    <row r="9" spans="1:23" ht="15.75" x14ac:dyDescent="0.25">
      <c r="A9" s="7" t="s">
        <v>5</v>
      </c>
      <c r="B9" s="7">
        <v>9</v>
      </c>
      <c r="D9" s="10" t="s">
        <v>5</v>
      </c>
      <c r="E9" s="10">
        <v>2</v>
      </c>
      <c r="G9" s="10" t="s">
        <v>5</v>
      </c>
      <c r="H9" s="10">
        <v>7</v>
      </c>
      <c r="J9" s="10" t="s">
        <v>5</v>
      </c>
      <c r="K9" s="10">
        <v>8</v>
      </c>
      <c r="M9" s="10" t="s">
        <v>5</v>
      </c>
      <c r="N9" s="10">
        <v>1</v>
      </c>
      <c r="P9" s="10" t="s">
        <v>5</v>
      </c>
      <c r="Q9" s="10">
        <v>10</v>
      </c>
      <c r="S9" s="11" t="s">
        <v>5</v>
      </c>
      <c r="T9" s="11">
        <v>122</v>
      </c>
      <c r="V9" s="12" t="s">
        <v>5</v>
      </c>
      <c r="W9" s="12">
        <v>0</v>
      </c>
    </row>
    <row r="10" spans="1:23" ht="15.75" x14ac:dyDescent="0.25">
      <c r="A10" s="7" t="s">
        <v>17</v>
      </c>
      <c r="B10" s="8">
        <v>204</v>
      </c>
      <c r="D10" s="10" t="s">
        <v>17</v>
      </c>
      <c r="E10" s="10">
        <v>82</v>
      </c>
      <c r="G10" s="10" t="s">
        <v>17</v>
      </c>
      <c r="H10" s="10">
        <v>192</v>
      </c>
      <c r="J10" s="10" t="s">
        <v>17</v>
      </c>
      <c r="K10" s="10">
        <v>338</v>
      </c>
      <c r="M10" s="10" t="s">
        <v>17</v>
      </c>
      <c r="N10" s="10">
        <v>15</v>
      </c>
      <c r="P10" s="10" t="s">
        <v>17</v>
      </c>
      <c r="Q10" s="10">
        <v>77</v>
      </c>
      <c r="S10" s="10" t="s">
        <v>17</v>
      </c>
      <c r="T10" s="10">
        <v>107</v>
      </c>
      <c r="V10" s="11" t="s">
        <v>17</v>
      </c>
      <c r="W10" s="11">
        <v>375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fer2013</vt:lpstr>
      <vt:lpstr>CK+</vt:lpstr>
      <vt:lpstr>RAF-DB</vt:lpstr>
      <vt:lpstr>AffectNet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2025-06-25T19:39:41Z</dcterms:modified>
</cp:coreProperties>
</file>